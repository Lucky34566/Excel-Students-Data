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2001_{B0E39FED-C5C5-4EDD-A61B-74A99FB9399A}" xr6:coauthVersionLast="47" xr6:coauthVersionMax="47" xr10:uidLastSave="{00000000-0000-0000-0000-000000000000}"/>
  <bookViews>
    <workbookView xWindow="-108" yWindow="-108" windowWidth="23256" windowHeight="12456" xr2:uid="{AE02BAA0-CF84-46EE-8B3C-23BF2541242B}"/>
  </bookViews>
  <sheets>
    <sheet name="Student Data" sheetId="1" r:id="rId1"/>
    <sheet name="Sheet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9" i="1"/>
  <c r="C17" i="1"/>
  <c r="C14" i="1"/>
  <c r="C13" i="1"/>
  <c r="C12" i="1"/>
  <c r="C11" i="1"/>
  <c r="C10" i="1"/>
  <c r="I7" i="1"/>
  <c r="I4" i="1"/>
</calcChain>
</file>

<file path=xl/sharedStrings.xml><?xml version="1.0" encoding="utf-8"?>
<sst xmlns="http://schemas.openxmlformats.org/spreadsheetml/2006/main" count="42" uniqueCount="35">
  <si>
    <t>Student_id</t>
  </si>
  <si>
    <t>Name</t>
  </si>
  <si>
    <t>Class</t>
  </si>
  <si>
    <t>Subject</t>
  </si>
  <si>
    <t>Marks</t>
  </si>
  <si>
    <t>Fee_Paid</t>
  </si>
  <si>
    <t>Status</t>
  </si>
  <si>
    <t>Navya</t>
  </si>
  <si>
    <t>Rahul</t>
  </si>
  <si>
    <t>Sita</t>
  </si>
  <si>
    <t>Amith</t>
  </si>
  <si>
    <t>Riya</t>
  </si>
  <si>
    <t>Kiran</t>
  </si>
  <si>
    <t>Maths</t>
  </si>
  <si>
    <t>Science</t>
  </si>
  <si>
    <t>English</t>
  </si>
  <si>
    <t>Paid</t>
  </si>
  <si>
    <t>Pending</t>
  </si>
  <si>
    <t>Vlookup</t>
  </si>
  <si>
    <t>find the name of the student_id104?</t>
  </si>
  <si>
    <t>find the subject of the kiran?</t>
  </si>
  <si>
    <t>SUM</t>
  </si>
  <si>
    <t>SUMIF</t>
  </si>
  <si>
    <t>SUMIFS</t>
  </si>
  <si>
    <t>COUNT</t>
  </si>
  <si>
    <t>COUNTA</t>
  </si>
  <si>
    <t>find total marks</t>
  </si>
  <si>
    <t>find the marks of subject science</t>
  </si>
  <si>
    <t xml:space="preserve">find the total fee paid </t>
  </si>
  <si>
    <t>find the total marks for maths in class 9</t>
  </si>
  <si>
    <t>find the feepaid by paid students in class 9</t>
  </si>
  <si>
    <t>find stundents who are paid</t>
  </si>
  <si>
    <t>find class and subjects</t>
  </si>
  <si>
    <t>find marks and fee paid who are missing</t>
  </si>
  <si>
    <t>COUNT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</si>
</sst>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right"/>
    </xf>
    <xf numFmtId="0" fontId="2" fillId="0" borderId="0" xfId="0" applyFont="1"/>
    <xf numFmtId="0" fontId="0" fillId="0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11A7-64D8-4D7D-A40B-5A1A2260C670}">
  <dimension ref="A1:I19"/>
  <sheetViews>
    <sheetView tabSelected="1" zoomScale="130" zoomScaleNormal="130" workbookViewId="0">
      <selection activeCell="E16" sqref="E16"/>
    </sheetView>
  </sheetViews>
  <sheetFormatPr defaultRowHeight="14.4" x14ac:dyDescent="0.3"/>
  <cols>
    <col min="1" max="1" width="11.5546875" customWidth="1"/>
    <col min="6" max="6" width="10" customWidth="1"/>
    <col min="9" max="9" width="18.66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9" x14ac:dyDescent="0.3">
      <c r="A2" s="4">
        <v>101</v>
      </c>
      <c r="B2" s="5" t="s">
        <v>7</v>
      </c>
      <c r="C2" s="5">
        <v>10</v>
      </c>
      <c r="D2" s="5" t="s">
        <v>13</v>
      </c>
      <c r="E2" s="5">
        <v>85</v>
      </c>
      <c r="F2" s="5">
        <v>5000</v>
      </c>
      <c r="G2" s="6" t="s">
        <v>16</v>
      </c>
      <c r="I2" t="s">
        <v>18</v>
      </c>
    </row>
    <row r="3" spans="1:9" x14ac:dyDescent="0.3">
      <c r="A3" s="7">
        <v>102</v>
      </c>
      <c r="B3" s="8" t="s">
        <v>8</v>
      </c>
      <c r="C3" s="8">
        <v>10</v>
      </c>
      <c r="D3" s="8" t="s">
        <v>14</v>
      </c>
      <c r="E3" s="8">
        <v>78</v>
      </c>
      <c r="F3" s="8">
        <v>5000</v>
      </c>
      <c r="G3" s="9" t="s">
        <v>16</v>
      </c>
      <c r="H3" s="13">
        <v>1</v>
      </c>
      <c r="I3" t="s">
        <v>19</v>
      </c>
    </row>
    <row r="4" spans="1:9" x14ac:dyDescent="0.3">
      <c r="A4" s="4">
        <v>103</v>
      </c>
      <c r="B4" s="5" t="s">
        <v>9</v>
      </c>
      <c r="C4" s="5">
        <v>9</v>
      </c>
      <c r="D4" s="5" t="s">
        <v>13</v>
      </c>
      <c r="E4" s="5">
        <v>90</v>
      </c>
      <c r="F4" s="5"/>
      <c r="G4" s="6" t="s">
        <v>17</v>
      </c>
      <c r="I4" t="str">
        <f>VLOOKUP(A5,A1:G7,2,0)</f>
        <v>Amith</v>
      </c>
    </row>
    <row r="5" spans="1:9" x14ac:dyDescent="0.3">
      <c r="A5" s="7">
        <v>104</v>
      </c>
      <c r="B5" s="8" t="s">
        <v>10</v>
      </c>
      <c r="C5" s="8">
        <v>9</v>
      </c>
      <c r="D5" s="8" t="s">
        <v>15</v>
      </c>
      <c r="E5" s="8">
        <v>65</v>
      </c>
      <c r="F5" s="8">
        <v>4000</v>
      </c>
      <c r="G5" s="9" t="s">
        <v>16</v>
      </c>
    </row>
    <row r="6" spans="1:9" x14ac:dyDescent="0.3">
      <c r="A6" s="4">
        <v>105</v>
      </c>
      <c r="B6" s="5" t="s">
        <v>11</v>
      </c>
      <c r="C6" s="5">
        <v>10</v>
      </c>
      <c r="D6" s="5" t="s">
        <v>14</v>
      </c>
      <c r="E6" s="5"/>
      <c r="F6" s="5">
        <v>5000</v>
      </c>
      <c r="G6" s="6" t="s">
        <v>16</v>
      </c>
      <c r="H6">
        <v>2</v>
      </c>
      <c r="I6" t="s">
        <v>20</v>
      </c>
    </row>
    <row r="7" spans="1:9" x14ac:dyDescent="0.3">
      <c r="A7" s="10">
        <v>106</v>
      </c>
      <c r="B7" s="11" t="s">
        <v>12</v>
      </c>
      <c r="C7" s="11">
        <v>9</v>
      </c>
      <c r="D7" s="11" t="s">
        <v>13</v>
      </c>
      <c r="E7" s="11">
        <v>72</v>
      </c>
      <c r="F7" s="11"/>
      <c r="G7" s="12" t="s">
        <v>17</v>
      </c>
      <c r="I7" t="str">
        <f>VLOOKUP(B7,B1:G7,3,0)</f>
        <v>Maths</v>
      </c>
    </row>
    <row r="10" spans="1:9" x14ac:dyDescent="0.3">
      <c r="B10" s="16" t="s">
        <v>21</v>
      </c>
      <c r="C10">
        <f>SUM(E2:E7)</f>
        <v>390</v>
      </c>
      <c r="E10" s="14" t="s">
        <v>26</v>
      </c>
      <c r="F10" s="14"/>
      <c r="G10" s="14"/>
      <c r="H10" s="14"/>
    </row>
    <row r="11" spans="1:9" x14ac:dyDescent="0.3">
      <c r="B11" s="16" t="s">
        <v>22</v>
      </c>
      <c r="C11">
        <f>SUMIF(D2:D7,"science",E2:E7)</f>
        <v>78</v>
      </c>
      <c r="E11" s="14" t="s">
        <v>27</v>
      </c>
      <c r="F11" s="14"/>
      <c r="G11" s="14"/>
      <c r="H11" s="14"/>
    </row>
    <row r="12" spans="1:9" x14ac:dyDescent="0.3">
      <c r="B12" s="16"/>
      <c r="C12">
        <f>SUMIF(G2:G7,"paid",F2:F7)</f>
        <v>19000</v>
      </c>
      <c r="E12" s="14" t="s">
        <v>28</v>
      </c>
      <c r="F12" s="14"/>
      <c r="G12" s="14"/>
      <c r="H12" s="14"/>
    </row>
    <row r="13" spans="1:9" x14ac:dyDescent="0.3">
      <c r="B13" s="16" t="s">
        <v>23</v>
      </c>
      <c r="C13">
        <f>SUMIFS(E2:E7,D2:D7,"Maths",C2:C7,9)</f>
        <v>162</v>
      </c>
      <c r="E13" s="14" t="s">
        <v>29</v>
      </c>
      <c r="F13" s="14"/>
      <c r="G13" s="14"/>
      <c r="H13" s="14"/>
    </row>
    <row r="14" spans="1:9" x14ac:dyDescent="0.3">
      <c r="B14" s="16"/>
      <c r="C14">
        <f>SUMIFS(F2:F7,G2:G7,"paid",C2:C7,9)</f>
        <v>4000</v>
      </c>
      <c r="E14" s="14" t="s">
        <v>30</v>
      </c>
      <c r="F14" s="14"/>
      <c r="G14" s="14"/>
      <c r="H14" s="14"/>
    </row>
    <row r="15" spans="1:9" x14ac:dyDescent="0.3">
      <c r="B15" s="16"/>
      <c r="E15" s="14"/>
      <c r="F15" s="14"/>
      <c r="G15" s="14"/>
      <c r="H15" s="14"/>
    </row>
    <row r="16" spans="1:9" x14ac:dyDescent="0.3">
      <c r="B16" s="16" t="s">
        <v>24</v>
      </c>
      <c r="C16">
        <f>COUNT(F2:F7)</f>
        <v>4</v>
      </c>
      <c r="E16" s="14" t="s">
        <v>31</v>
      </c>
      <c r="F16" s="14"/>
      <c r="G16" s="14"/>
      <c r="H16" s="14"/>
    </row>
    <row r="17" spans="2:8" x14ac:dyDescent="0.3">
      <c r="B17" s="16" t="s">
        <v>25</v>
      </c>
      <c r="C17">
        <f>COUNTA(C2:D7)</f>
        <v>12</v>
      </c>
      <c r="E17" s="14" t="s">
        <v>32</v>
      </c>
      <c r="F17" s="14"/>
      <c r="G17" s="14"/>
      <c r="H17" s="14"/>
    </row>
    <row r="18" spans="2:8" x14ac:dyDescent="0.3">
      <c r="B18" s="16" t="s">
        <v>34</v>
      </c>
      <c r="C18" s="15"/>
      <c r="E18" s="14"/>
      <c r="F18" s="14"/>
      <c r="G18" s="14"/>
      <c r="H18" s="14"/>
    </row>
    <row r="19" spans="2:8" x14ac:dyDescent="0.3">
      <c r="C19">
        <f>COUNTBLANK(E2:F7)</f>
        <v>3</v>
      </c>
      <c r="E19" s="14" t="s">
        <v>33</v>
      </c>
      <c r="F19" s="14"/>
      <c r="G19" s="14"/>
      <c r="H1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74D3-FBBB-44C9-90BD-0CC8A6C4B0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B8D9B-2B3D-41D8-947F-3B884F33B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pasupureddy</dc:creator>
  <cp:lastModifiedBy>ramkumar pasupureddy</cp:lastModifiedBy>
  <dcterms:created xsi:type="dcterms:W3CDTF">2025-12-23T06:24:10Z</dcterms:created>
  <dcterms:modified xsi:type="dcterms:W3CDTF">2025-12-23T12:03:37Z</dcterms:modified>
</cp:coreProperties>
</file>